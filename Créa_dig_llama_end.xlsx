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gPepouse\Documents\School\creation_digital\"/>
    </mc:Choice>
  </mc:AlternateContent>
  <xr:revisionPtr revIDLastSave="0" documentId="13_ncr:1_{C2601936-0D53-4820-B433-70BC470B9C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12" i="1"/>
  <c r="E11" i="1"/>
  <c r="E10" i="1"/>
  <c r="E9" i="1"/>
  <c r="E8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<sst xmlns="http://schemas.openxmlformats.org/spreadsheetml/2006/main" count="207" uniqueCount="188">
  <si>
    <t xml:space="preserve">Element </t>
  </si>
  <si>
    <t>Proportion tel (%)</t>
  </si>
  <si>
    <t>Pays d'extraction</t>
  </si>
  <si>
    <t>Production (t/an)</t>
  </si>
  <si>
    <t>Nombre de mines</t>
  </si>
  <si>
    <t>Méthode d'extraction</t>
  </si>
  <si>
    <t>Raffinerie</t>
  </si>
  <si>
    <t>Nombre de raffinerie</t>
  </si>
  <si>
    <t>Autres</t>
  </si>
  <si>
    <t>Partie téléphone</t>
  </si>
  <si>
    <t>Référence</t>
  </si>
  <si>
    <t>In</t>
  </si>
  <si>
    <t>&gt;1 t</t>
  </si>
  <si>
    <t>1.38 mg</t>
  </si>
  <si>
    <t>0.34 mg</t>
  </si>
  <si>
    <t>~2.4 g</t>
  </si>
  <si>
    <t>Chine, Corée du Sud</t>
  </si>
  <si>
    <t>Données mondiales 2024 (USGS MCS 2025) : Chine ~310 t, Corée du Sud ~215 t, Japon ~70 t, Canada ~70 t. Total mondial ~900 t. NB : données spécifiques au téléphone introuvables (indium = coproduit du zinc utilisé à 90% en électronique/ITO)</t>
  </si>
  <si>
    <t>Aucune mine dédiée (coproduit)</t>
  </si>
  <si>
    <t>Traitement métallurgique par acide sulphurique</t>
  </si>
  <si>
    <t>Chine, Corée du Sud, Japon</t>
  </si>
  <si>
    <t>~10–15 raffineries mondiales (Chine, Japon, Belgique, France, Canada)</t>
  </si>
  <si>
    <t>Pas de mine, provient de l'extraction en maj du Zn, Cu, Pb et Sn. Donnée de production proviennet de 2025</t>
  </si>
  <si>
    <t>Écran</t>
  </si>
  <si>
    <t>https://www.apple.com/environment/pdf/products/iphone/iPhone_15_Pro_and_iPhone_15_Pro_Max_Sept2023.pdf</t>
  </si>
  <si>
    <t>Li</t>
  </si>
  <si>
    <t>100 g</t>
  </si>
  <si>
    <t>75 g (saumure) ou 450 g (roche dure)</t>
  </si>
  <si>
    <t>10 g (saumure) ou 80 g (roche dure)</t>
  </si>
  <si>
    <t>~1 kg</t>
  </si>
  <si>
    <t>Australie, Chili, Argentine, Chine</t>
  </si>
  <si>
    <t>Données mondiales 2024 (USGS MCS 2025) : Australie ~88 000 t, Chili ~49 000 t, Chine ~41 000 t, Argentine ~18 000 t, Zimbabwe ~22 000 t. Total mondial ~240 000 t (contenu Li). NB : données spécifiques aux téléphones introuvables ; ~87% de la prod Li va aux batteries (véhicules + téléphones + outils)</t>
  </si>
  <si>
    <t>Australie 10</t>
  </si>
  <si>
    <t>Saumure, roche dure</t>
  </si>
  <si>
    <t>Chine, Chili</t>
  </si>
  <si>
    <t>Chine 20</t>
  </si>
  <si>
    <t>nulle</t>
  </si>
  <si>
    <t>Batterie</t>
  </si>
  <si>
    <t>https://www.fairphone.com/wp-content/uploads/2024/09/Fairphone5_LCA_Report_2024.pdf</t>
  </si>
  <si>
    <t>Au</t>
  </si>
  <si>
    <t>1 à 2 t</t>
  </si>
  <si>
    <t>50 mg</t>
  </si>
  <si>
    <t>1 g</t>
  </si>
  <si>
    <t>~6.8 g</t>
  </si>
  <si>
    <t>Chine, Australie, Russie</t>
  </si>
  <si>
    <t>Données mondiales 2024 (USGS MCS 2025) : Chine ~380 t, Russie ~310 t, Australie ~290 t, Canada ~200 t, USA ~160 t. Total mondial ~3 300 t. NB : données spécifiques aux téléphones introuvables ; ~6% du total Or va à l'électronique</t>
  </si>
  <si>
    <t>~3 000–4 000 mines actives mondiales. USA &gt;40 mines, Chine &gt;500 sites</t>
  </si>
  <si>
    <t>Mine à ciel ouvert &amp; souterraine ; cyanuration (lixiviation) ou amalgamation. Extraction gravimétrique pour alluvions</t>
  </si>
  <si>
    <t>Chine, Suisse, Ouzbékistan</t>
  </si>
  <si>
    <t>500 mondial</t>
  </si>
  <si>
    <t>Carte mère</t>
  </si>
  <si>
    <t>https://www.sciencedirect.com/science/article/pii/S0959652623022576</t>
  </si>
  <si>
    <t>Sn</t>
  </si>
  <si>
    <t>50 à 500 g</t>
  </si>
  <si>
    <t>15.4 g</t>
  </si>
  <si>
    <t>10.2 g</t>
  </si>
  <si>
    <t>~320 g</t>
  </si>
  <si>
    <t>Chine, Indonésie, Bermude, Péru</t>
  </si>
  <si>
    <t>Données mondiales 2023 (USGS MCS 2024) : Chine ~68 000 t, Myanmar ~54 000 t, Indonésie ~52 000 t, Pérou ~20 000 t. Total mondial ~370 000 t. NB : données spécifiques aux téléphones introuvables ; ~46% du Sn va au soudage électronique</t>
  </si>
  <si>
    <t>Chine ~15 (déjà renseigné), Myanmar ~3 grands sites (Wa State), Indonésie &gt;100 petits sites (Bangka-Belitung)</t>
  </si>
  <si>
    <t>Mine à ciel ouvert, mine alluviale (dragage rivières/litoral), mine souterraine (Chine)</t>
  </si>
  <si>
    <t>Chine, Indonésie</t>
  </si>
  <si>
    <t>Chine 15</t>
  </si>
  <si>
    <t>https://www.compoundchem.com/2014/02/19/the-chemical-elements-of-a-smartphone/</t>
  </si>
  <si>
    <t>Zn</t>
  </si>
  <si>
    <t>20 à 50 g</t>
  </si>
  <si>
    <t>~160 g</t>
  </si>
  <si>
    <t>Chine, Australie, Pérou</t>
  </si>
  <si>
    <t>Données mondiales 2024 (USGS MCS 2025) : Chine ~4 000 000 t, Pérou ~1 500 000 t, Australie ~1 300 000 t, Inde ~810 000 t. Total mondial ~12 000 000 t. NB : données spécifiques aux téléphones introuvables ; Zn utilisé principalement en galvanisation (~55%), faible fraction pour électronique</t>
  </si>
  <si>
    <t>Mine à ciel ouvert &amp; souterraine ; concentration par flottaison, grillage, lixiviation acide</t>
  </si>
  <si>
    <t xml:space="preserve">Chine, Corée du Sud </t>
  </si>
  <si>
    <t>~10 grandes fonderies Chine, Corée du Sud ; ~50+ mondiales (Europe, Amérique). Données précises non disponibles publiquement</t>
  </si>
  <si>
    <t>Boîtier / Châssis</t>
  </si>
  <si>
    <t>https://pubs.usgs.gov/gip/0167/gip167.pdf</t>
  </si>
  <si>
    <t>Co</t>
  </si>
  <si>
    <t>50 à 200 kg</t>
  </si>
  <si>
    <t>106 g</t>
  </si>
  <si>
    <t>19 g</t>
  </si>
  <si>
    <t>RD Congo</t>
  </si>
  <si>
    <t>Données mondiales 2024 (USGS MCS 2025) : RD Congo ~220 000 t (76%), Indonésie ~28 000 t (10%), Russie ~8 700 t. Total mondial ~290 000 t. NB : données spécifiques aux téléphones introuvables ; ~70% du Co va aux batteries Li-ion (véhicules + téléphones)</t>
  </si>
  <si>
    <t>~30 (déjà renseigné). Principalement RD Congo (Copperbelt)</t>
  </si>
  <si>
    <t>Mine souterraine (RD Congo, Cu-Co Copperbelt) ; coproduit du Ni en Indonésie (HPAL – lixiviation acide à haute pression). Extraction artisanale (ASM) au Congo</t>
  </si>
  <si>
    <t>Chine</t>
  </si>
  <si>
    <t>RD Congo 70% mines</t>
  </si>
  <si>
    <t>https://www.sfa-oxford.com/knowledge-and-insights/critical-minerals-in-low-carbon-and-future-technologies/critical-minerals-in-electronics/critical-minerals-in-smartphones/</t>
  </si>
  <si>
    <t>REE</t>
  </si>
  <si>
    <t>10 à 200 kg</t>
  </si>
  <si>
    <t>8.8 g</t>
  </si>
  <si>
    <t>3.8 g</t>
  </si>
  <si>
    <t>~40 g</t>
  </si>
  <si>
    <t>Données mondiales 2024 (USGS MCS 2025) : Chine ~270 000 t (69%), USA ~45 000 t (12%), Myanmar ~31 000 t, Australie ~13 000–16 000 t, Thaïlande ~13 000 t. Total mondial ~390 000 t REO. NB : données spécifiques aux téléphones introuvables ; fraction électronique est minoritaire</t>
  </si>
  <si>
    <t>Chine : Bayan Obo (1 immense), ~dizaine d'autres. USA : 1 (Mountain Pass, CA). Monde : ~20 mines actives</t>
  </si>
  <si>
    <t>Mine à ciel ouvert (Bayan Obo) ; lixiviation in situ pour argiles à adsorption ionique (Chine sud) ; traitement par acide sulfurique + séparation par solvant</t>
  </si>
  <si>
    <t>Haut-parleurs, Vibreur, Caméra</t>
  </si>
  <si>
    <t>https://pubs.usgs.gov/periodicals/mcs2024/mcs2024.pdf</t>
  </si>
  <si>
    <t>Ni</t>
  </si>
  <si>
    <t>33 à 200 g</t>
  </si>
  <si>
    <t>~800 g</t>
  </si>
  <si>
    <t>Indonésie, Philippines</t>
  </si>
  <si>
    <t>Données mondiales 2024 (USGS MCS 2025) : Indonésie ~2 200 000 t (61%), Philippines ~330 000 t, Russie ~210 000 t. Total mondial ~3 700 000 t. NB : données spécifiques aux téléphones introuvables ; Ni pour batteries Li-ion = fraction croissante</t>
  </si>
  <si>
    <t>~20 (déjà renseigné pour Indonésie). Mondial : ~100 opérations actives</t>
  </si>
  <si>
    <t>Latérite (mine à ciel ouvert) → HPAL ou pyrométallurgie (NPI). Sulfure (mine souterraine) → flottaison + fusion</t>
  </si>
  <si>
    <t>Chine, Indonésie, Norvège</t>
  </si>
  <si>
    <t>Indonésie 20</t>
  </si>
  <si>
    <t>90% des raffineries</t>
  </si>
  <si>
    <t>https://www.iea.org/reports/critical-minerals-market-review-2023</t>
  </si>
  <si>
    <t>Ga</t>
  </si>
  <si>
    <t>200 kg à 1 t</t>
  </si>
  <si>
    <t>0.95 mg</t>
  </si>
  <si>
    <t>0.17 mg</t>
  </si>
  <si>
    <t>~0.4 g</t>
  </si>
  <si>
    <t>Données mondiales 2023 (USGS MCS 2024) : Chine ~700 t (99%), Japon, Corée du Sud, Russie traces. Total mondial ~700–800 t. NB : données spécifiques aux téléphones introuvables ; Ga = coproduit bauxite/zinc, totalité presque utilisée en semi-conducteurs</t>
  </si>
  <si>
    <t>Aucune mine dédiée (coproduit Al/Zn)</t>
  </si>
  <si>
    <t>Coproduit de la production d'aluminium (bauxite) et du zinc ; précipitation à partir des liqueurs de Bayer (Al) ou des résidus zinc</t>
  </si>
  <si>
    <t>Très peu ; Chine : ~5–10 unités de purification. Reste mondial marginal</t>
  </si>
  <si>
    <t>Chine 95% mines</t>
  </si>
  <si>
    <t>https://www.benchmarkminerals.com/</t>
  </si>
  <si>
    <t>Cu</t>
  </si>
  <si>
    <t>200 à 500 g</t>
  </si>
  <si>
    <t>~4.8 kg</t>
  </si>
  <si>
    <t>Chili, Pérou, RD Congo</t>
  </si>
  <si>
    <t>Données mondiales 2024 (USGS MCS 2025) : Chili ~5 300 000 t, Pérou ~2 600 000 t, RD Congo ~2 000 000 t, Chine ~1 800 000 t, USA ~1 100 000 t. Total mondial ~22 000 000 t. NB : données spécifiques aux téléphones introuvables ; ~23% du Cu va à l'électronique</t>
  </si>
  <si>
    <t>Chili ~50 (déjà renseigné). Mondial : &gt;700 mines actives</t>
  </si>
  <si>
    <t>Mine à ciel ouvert (~80%) &amp; souterraine ; concentration par flottaison ; pyrométallurgie (fusion-conversion) ou hydrométallurgie (SX-EW)</t>
  </si>
  <si>
    <t>Chine, Chili, Japon</t>
  </si>
  <si>
    <t>Chine 40</t>
  </si>
  <si>
    <t>https://www.cobaltinstitute.org/</t>
  </si>
  <si>
    <t>Plastique</t>
  </si>
  <si>
    <t>1.9 à 2 g</t>
  </si>
  <si>
    <t>146 à 336 g</t>
  </si>
  <si>
    <t>36 à 84 g</t>
  </si>
  <si>
    <t>~14 kg</t>
  </si>
  <si>
    <t>USA, Arabie Saoudite</t>
  </si>
  <si>
    <t>Total mondial ~400 000 000 t/an de plastiques (toutes catégories). Chine 1er producteur (~32%), USA, Arabie Saoudite, Europe. NB : données spécifiques aux téléphones introuvables</t>
  </si>
  <si>
    <t>&gt;1 000 (déjà renseigné)</t>
  </si>
  <si>
    <t>Dérivé pétrochimique : raffinage pétrole/gaz → naphta → polymérisation (PP, PC, ABS...)</t>
  </si>
  <si>
    <t>Chine, USA</t>
  </si>
  <si>
    <t>Non applicable (procédé industriel continu, &gt;1 000 usines mondiales)</t>
  </si>
  <si>
    <t>Boîtier / Coque</t>
  </si>
  <si>
    <t>https://www.gold.org/goldhub/data/gold-production-by-country</t>
  </si>
  <si>
    <t>https://lelementarium.fr/element-fiche/</t>
  </si>
  <si>
    <t>Retrouver les infos de prod de l'élém pour tél, pas mondial</t>
  </si>
  <si>
    <t>https://www.aucoffre.com/academie/extraction-or-modele-a-bout-de-souffle/#:~:text=%C3%80%20titre%20indicatif%2C%20il%20faut,un%20lingot%20de%201%20kg)%20!</t>
  </si>
  <si>
    <t>https://www.mineralinfo.fr/fr/substance/indium#:~:text=Il%20n'y%20pas%20de%20mine%20d'indium.%20La,du%20Sud%20en%20sont%20les%20principaux%20producteurs.</t>
  </si>
  <si>
    <t>https://lelementarium.fr/element-fiche/indium/#:~:text=Mati%C3%A8res%20premi%C3%A8res%20La%20teneur%20moyenne%20de%20l'%C3%A9corce,principalement%20co%2Dproduit%20par%20la%20m%C3%A9tallurgie%20du%20zinc.</t>
  </si>
  <si>
    <t>https://www.arbor.eco/blog/lithium-environmental-impact</t>
  </si>
  <si>
    <t>https://www.sciencedirect.com/science/article/pii/S2667010024001288</t>
  </si>
  <si>
    <t>https://blog.investchile.gob.cl/chilean-lithium-smallest-carbon-footprint-on-the-planet</t>
  </si>
  <si>
    <t>https://www.mkspamp.com/sites/mksandpamp/files/2024-10/MKS%20PAMP%2023-24%20-%20Provenance%20Gold%20Kilo%20and%20Large%20bars%20-%20PER_0.pdf</t>
  </si>
  <si>
    <t>https://www.usgs.gov/centers/national-minerals-information-center/tin-statistics-and-information</t>
  </si>
  <si>
    <t>https://www.nexaresources.com/wp-content/uploads/2022/07/Inventario_GEE_2020-en.pdf#:~:text=Our%20Greenhouse%20Gas%20(GHG)%20emissions%20totaled%20773%2C391.154,tonne%20of%20zinc%20and%20zinc%20oxide%20sold.</t>
  </si>
  <si>
    <t>https://ressources-naturelles.canada.ca/mineraux-exploitation-miniere/donnees-statistiques-analyses-exploitation-miniere/faits-mineraux-metaux/faits-zinc</t>
  </si>
  <si>
    <t>https://www.oecd.org/content/dam/oecd/en/publications/reports/2024/04/achieving-the-transition-to-net-zero-in-australia_41f06dcb/9a56c9d2-en.pdf</t>
  </si>
  <si>
    <t>https://rmis.jrc.ec.europa.eu/uploads/CRMs_for_Strategic_Technologies_and_Sectors_in_the_EU_2020.pdf</t>
  </si>
  <si>
    <t>https://insg.org/wp-content/uploads/2024/09/publist_The-World-Nickel-Factbook-2024.pdf</t>
  </si>
  <si>
    <t>https://www.wri.org/technical-perspectives/nickels-climate-cost-and-indonesias-push-cleaner-production</t>
  </si>
  <si>
    <t>https://ieefa.org/sites/default/files/2024-10/IEEFA%20Report%20-%20Indonesia%27s%20nickel%20companies%20need%20RE_Oct2024.pdf</t>
  </si>
  <si>
    <t>https://internationalcopper.org/wp-content/uploads/2023/04/20230419-Pathway-to-Net-Zero-LatAm-ENGLISH.pdf</t>
  </si>
  <si>
    <t>https://www.spglobal.com/market-intelligence/en/news-insights/research/2025/09/beyond-the-grid-coppers-decarbonization-focus-shifts-toward-mines</t>
  </si>
  <si>
    <t>https://www.mdpi.com/2227-9717/10/12/2715</t>
  </si>
  <si>
    <t>https://mineralrightspodcast.com/mrp-119-carbon-intensity-of-us-oil-production-compared-to-opec-and-russia/</t>
  </si>
  <si>
    <t>https://greenstarsproject.org/2025/08/24/the-astonishing-carbon-footprint-of-plastic-production/</t>
  </si>
  <si>
    <t>https://www.aramco.com/en/news-media/news/2018/study-shows-record-low-carbon-intensity-of-saudi-crude-oil</t>
  </si>
  <si>
    <t>2.1 g</t>
  </si>
  <si>
    <t>170 g</t>
  </si>
  <si>
    <t>42 g</t>
  </si>
  <si>
    <t>64 g</t>
  </si>
  <si>
    <t>42.6 g</t>
  </si>
  <si>
    <t xml:space="preserve">https://pubs.usgs.gov/publication/mcs2025 </t>
  </si>
  <si>
    <t xml:space="preserve">https://pubs.usgs.gov/fs/2025/3038/fs20253038.pdf </t>
  </si>
  <si>
    <t xml:space="preserve">https://pubs.usgs.gov/publication/sir20255021/full </t>
  </si>
  <si>
    <t>https://scrreen.eu/wp-content/uploads/2023/01/INDIUM_CRM_2020_Factsheets_critical_Final.pdf</t>
  </si>
  <si>
    <t xml:space="preserve">https://databoks.katadata.co.id/en/mining/statistics/67a0837bd5cc3/indonesia-to-become-one-of-the-worlds-top-cobalt-producers-in-2024 </t>
  </si>
  <si>
    <t>https://databoks.katadata.co.id/en/mining/statistics/f4aa1d72410710d/indonesia-ranks-among-the-worlds-largest-tin-producers-in-2023</t>
  </si>
  <si>
    <t>https://databoks.katadata.co.id/en/market/statistics/67a256ff68874/indonesia-to-join-ranks-of-worlds-largest-gold-producers-in-2024</t>
  </si>
  <si>
    <t>https://www.developmentaid.org/news-stream/post/170661/five-major-lithium-producing-countries</t>
  </si>
  <si>
    <t>https://www.developmentaid.org/news-stream/post/193928/top-countries-by-rare-earth-elements-production</t>
  </si>
  <si>
    <t>https://investingnews.com/daily/resource-investing/critical-metals-investing/rare-earth-investing/rare-earth-metal-production/</t>
  </si>
  <si>
    <t>https://www.idnfinancials.com/news/59725/indonesia-to-cut-nickel-production-in-2026-to-maintain-price-stability</t>
  </si>
  <si>
    <t>https://www.nasdaq.com/articles/tin-stocks-10-biggest-producers-2024</t>
  </si>
  <si>
    <t>https://doi.org/10.3389/fenrg.2014.00045</t>
  </si>
  <si>
    <t>Equivalent roche extraite par grammage de téléphone (g)</t>
  </si>
  <si>
    <t>Equivalent CO2 Raffinerie par g élément</t>
  </si>
  <si>
    <t>Equivalent CO2 extraction par g élément</t>
  </si>
  <si>
    <t>Equivalent CO2 assemblage par g élément</t>
  </si>
  <si>
    <t>Assemblage équivalent CO2 (kg) par g élément</t>
  </si>
  <si>
    <t>Equivalent grammage (téléphone de 200g) (g (cb de gramme élément pour 200g téléphone)</t>
  </si>
  <si>
    <t>Equivalent roche extraite pour 1 g de l'élément (colonne intermédiaire)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</si>
</sst>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C99"/>
        <bgColor rgb="FFFFCC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/>
    <xf numFmtId="0" fontId="1" fillId="3" borderId="0"/>
    <xf numFmtId="0" fontId="2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3" borderId="1" xfId="2" applyFont="1" applyBorder="1" applyAlignment="1">
      <alignment horizontal="center" vertical="center"/>
    </xf>
    <xf numFmtId="0" fontId="0" fillId="2" borderId="1" xfId="1" applyFont="1" applyBorder="1" applyAlignment="1">
      <alignment horizontal="center" vertical="center"/>
    </xf>
    <xf numFmtId="2" fontId="0" fillId="2" borderId="1" xfId="1" applyNumberFormat="1" applyFont="1" applyBorder="1" applyAlignment="1">
      <alignment horizontal="center" vertical="center"/>
    </xf>
    <xf numFmtId="0" fontId="2" fillId="0" borderId="0" xfId="3"/>
    <xf numFmtId="0" fontId="2" fillId="0" borderId="0" xfId="3" applyAlignment="1">
      <alignment horizontal="center" vertical="center"/>
    </xf>
    <xf numFmtId="0" fontId="0" fillId="4" borderId="1" xfId="1" applyFont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1" fillId="2" borderId="0" xfId="1"/>
    <xf numFmtId="0" fontId="3" fillId="0" borderId="0" xfId="3" applyFont="1"/>
  </cellXfs>
  <cellStyles count="4">
    <cellStyle name="20 % - Accent1" xfId="1" builtinId="30"/>
    <cellStyle name="60 % - Accent1" xfId="2" builtinId="32"/>
    <cellStyle name="Lien hypertexte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usgs.gov/fs/2025/3038/fs20253038.pdf" TargetMode="External"/><Relationship Id="rId13" Type="http://schemas.openxmlformats.org/officeDocument/2006/relationships/hyperlink" Target="https://databoks.katadata.co.id/en/market/statistics/67a256ff68874/indonesia-to-join-ranks-of-worlds-largest-gold-producers-in-2024" TargetMode="External"/><Relationship Id="rId18" Type="http://schemas.openxmlformats.org/officeDocument/2006/relationships/hyperlink" Target="https://www.nasdaq.com/articles/tin-stocks-10-biggest-producers-2024" TargetMode="External"/><Relationship Id="rId3" Type="http://schemas.openxmlformats.org/officeDocument/2006/relationships/hyperlink" Target="https://lelementarium.fr/element-fiche/indium/" TargetMode="External"/><Relationship Id="rId7" Type="http://schemas.openxmlformats.org/officeDocument/2006/relationships/hyperlink" Target="https://pubs.usgs.gov/publication/mcs2025" TargetMode="External"/><Relationship Id="rId12" Type="http://schemas.openxmlformats.org/officeDocument/2006/relationships/hyperlink" Target="https://databoks.katadata.co.id/en/mining/statistics/f4aa1d72410710d/indonesia-ranks-among-the-worlds-largest-tin-producers-in-2023" TargetMode="External"/><Relationship Id="rId17" Type="http://schemas.openxmlformats.org/officeDocument/2006/relationships/hyperlink" Target="https://www.idnfinancials.com/news/59725/indonesia-to-cut-nickel-production-in-2026-to-maintain-price-stability" TargetMode="External"/><Relationship Id="rId2" Type="http://schemas.openxmlformats.org/officeDocument/2006/relationships/hyperlink" Target="https://lelementarium.fr/element-fiche/" TargetMode="External"/><Relationship Id="rId16" Type="http://schemas.openxmlformats.org/officeDocument/2006/relationships/hyperlink" Target="https://investingnews.com/daily/resource-investing/critical-metals-investing/rare-earth-investing/rare-earth-metal-production/" TargetMode="External"/><Relationship Id="rId1" Type="http://schemas.openxmlformats.org/officeDocument/2006/relationships/hyperlink" Target="https://www.benchmarkminerals.com/" TargetMode="External"/><Relationship Id="rId6" Type="http://schemas.openxmlformats.org/officeDocument/2006/relationships/hyperlink" Target="https://greenstarsproject.org/2025/08/24/the-astonishing-carbon-footprint-of-plastic-production/" TargetMode="External"/><Relationship Id="rId11" Type="http://schemas.openxmlformats.org/officeDocument/2006/relationships/hyperlink" Target="https://databoks.katadata.co.id/en/mining/statistics/67a0837bd5cc3/indonesia-to-become-one-of-the-worlds-top-cobalt-producers-in-2024" TargetMode="External"/><Relationship Id="rId5" Type="http://schemas.openxmlformats.org/officeDocument/2006/relationships/hyperlink" Target="https://www.mdpi.com/2227-9717/10/12/2715" TargetMode="External"/><Relationship Id="rId15" Type="http://schemas.openxmlformats.org/officeDocument/2006/relationships/hyperlink" Target="https://www.developmentaid.org/news-stream/post/193928/top-countries-by-rare-earth-elements-production" TargetMode="External"/><Relationship Id="rId10" Type="http://schemas.openxmlformats.org/officeDocument/2006/relationships/hyperlink" Target="https://scrreen.eu/wp-content/uploads/2023/01/INDIUM_CRM_2020_Factsheets_critical_Final.pdf" TargetMode="External"/><Relationship Id="rId19" Type="http://schemas.openxmlformats.org/officeDocument/2006/relationships/hyperlink" Target="https://doi.org/10.3389/fenrg.2014.00045" TargetMode="External"/><Relationship Id="rId4" Type="http://schemas.openxmlformats.org/officeDocument/2006/relationships/hyperlink" Target="https://www.sciencedirect.com/science/article/pii/S2667010024001288" TargetMode="External"/><Relationship Id="rId9" Type="http://schemas.openxmlformats.org/officeDocument/2006/relationships/hyperlink" Target="https://pubs.usgs.gov/publication/sir20255021/full" TargetMode="External"/><Relationship Id="rId14" Type="http://schemas.openxmlformats.org/officeDocument/2006/relationships/hyperlink" Target="https://www.developmentaid.org/news-stream/post/170661/five-major-lithium-producing-countr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"/>
  <sheetViews>
    <sheetView tabSelected="1" zoomScaleNormal="100" workbookViewId="0">
      <selection activeCell="E21" sqref="E21"/>
    </sheetView>
  </sheetViews>
  <sheetFormatPr baseColWidth="10" defaultRowHeight="15" x14ac:dyDescent="0.25"/>
  <cols>
    <col min="2" max="2" width="30.28515625" customWidth="1"/>
    <col min="3" max="3" width="41.140625" customWidth="1"/>
    <col min="4" max="4" width="45.28515625" customWidth="1"/>
    <col min="5" max="5" width="43.5703125" customWidth="1"/>
    <col min="6" max="6" width="30.5703125" customWidth="1"/>
    <col min="7" max="7" width="34.85546875" customWidth="1"/>
    <col min="8" max="8" width="24.28515625" customWidth="1"/>
    <col min="9" max="9" width="32.5703125" bestFit="1" customWidth="1"/>
    <col min="10" max="10" width="78.7109375" customWidth="1"/>
    <col min="11" max="12" width="32.5703125" customWidth="1"/>
    <col min="13" max="13" width="19" bestFit="1" customWidth="1"/>
    <col min="14" max="14" width="19" customWidth="1"/>
    <col min="15" max="15" width="17.85546875" bestFit="1" customWidth="1"/>
    <col min="16" max="16" width="17.85546875" customWidth="1"/>
    <col min="17" max="17" width="41.5703125" customWidth="1"/>
    <col min="18" max="18" width="232.5703125" bestFit="1" customWidth="1"/>
  </cols>
  <sheetData>
    <row r="1" spans="1:18" x14ac:dyDescent="0.25">
      <c r="A1" s="2" t="s">
        <v>0</v>
      </c>
      <c r="B1" s="2" t="s">
        <v>1</v>
      </c>
      <c r="C1" s="4" t="s">
        <v>186</v>
      </c>
      <c r="D1" s="4" t="s">
        <v>187</v>
      </c>
      <c r="E1" s="4" t="s">
        <v>181</v>
      </c>
      <c r="F1" s="4" t="s">
        <v>182</v>
      </c>
      <c r="G1" s="4" t="s">
        <v>183</v>
      </c>
      <c r="H1" s="4" t="s">
        <v>184</v>
      </c>
      <c r="I1" s="4" t="s">
        <v>2</v>
      </c>
      <c r="J1" s="4" t="s">
        <v>3</v>
      </c>
      <c r="K1" s="4" t="s">
        <v>4</v>
      </c>
      <c r="L1" s="4" t="s">
        <v>5</v>
      </c>
      <c r="M1" s="4" t="s">
        <v>6</v>
      </c>
      <c r="N1" s="4" t="s">
        <v>7</v>
      </c>
      <c r="O1" s="4" t="s">
        <v>8</v>
      </c>
      <c r="P1" s="4" t="s">
        <v>9</v>
      </c>
      <c r="Q1" s="4" t="s">
        <v>185</v>
      </c>
      <c r="R1" s="2" t="s">
        <v>10</v>
      </c>
    </row>
    <row r="2" spans="1:18" x14ac:dyDescent="0.25">
      <c r="A2" s="2" t="s">
        <v>11</v>
      </c>
      <c r="B2" s="3">
        <v>6.0000000000000001E-3</v>
      </c>
      <c r="C2" s="3">
        <v>1.2E-2</v>
      </c>
      <c r="D2" s="6" t="s">
        <v>12</v>
      </c>
      <c r="E2" s="6">
        <f>1000000*C2</f>
        <v>12000</v>
      </c>
      <c r="F2" s="6" t="s">
        <v>13</v>
      </c>
      <c r="G2" s="6" t="s">
        <v>14</v>
      </c>
      <c r="H2" s="11" t="s">
        <v>15</v>
      </c>
      <c r="I2" s="11" t="s">
        <v>16</v>
      </c>
      <c r="J2" s="11" t="s">
        <v>17</v>
      </c>
      <c r="K2" s="11" t="s">
        <v>18</v>
      </c>
      <c r="L2" s="11" t="s">
        <v>19</v>
      </c>
      <c r="M2" s="11" t="s">
        <v>20</v>
      </c>
      <c r="N2" s="11" t="s">
        <v>21</v>
      </c>
      <c r="O2" s="11" t="s">
        <v>22</v>
      </c>
      <c r="P2" s="11" t="s">
        <v>23</v>
      </c>
      <c r="Q2" s="11">
        <v>12</v>
      </c>
      <c r="R2" s="11" t="s">
        <v>24</v>
      </c>
    </row>
    <row r="3" spans="1:18" x14ac:dyDescent="0.25">
      <c r="A3" s="2" t="s">
        <v>25</v>
      </c>
      <c r="B3" s="3">
        <v>2.5</v>
      </c>
      <c r="C3" s="3">
        <v>5</v>
      </c>
      <c r="D3" s="5" t="s">
        <v>26</v>
      </c>
      <c r="E3" s="5">
        <f>100*C3</f>
        <v>500</v>
      </c>
      <c r="F3" s="5" t="s">
        <v>27</v>
      </c>
      <c r="G3" s="5" t="s">
        <v>28</v>
      </c>
      <c r="H3" s="11" t="s">
        <v>29</v>
      </c>
      <c r="I3" s="11" t="s">
        <v>30</v>
      </c>
      <c r="J3" s="11" t="s">
        <v>31</v>
      </c>
      <c r="K3" s="11" t="s">
        <v>32</v>
      </c>
      <c r="L3" s="11" t="s">
        <v>33</v>
      </c>
      <c r="M3" s="11" t="s">
        <v>34</v>
      </c>
      <c r="N3" s="11" t="s">
        <v>35</v>
      </c>
      <c r="O3" s="11" t="s">
        <v>36</v>
      </c>
      <c r="P3" s="11" t="s">
        <v>37</v>
      </c>
      <c r="Q3" s="11">
        <v>8</v>
      </c>
      <c r="R3" s="11" t="s">
        <v>38</v>
      </c>
    </row>
    <row r="4" spans="1:18" x14ac:dyDescent="0.25">
      <c r="A4" s="2" t="s">
        <v>39</v>
      </c>
      <c r="B4" s="3">
        <v>1.7000000000000001E-2</v>
      </c>
      <c r="C4" s="3">
        <v>3.4000000000000002E-2</v>
      </c>
      <c r="D4" s="5" t="s">
        <v>40</v>
      </c>
      <c r="E4" s="5">
        <f>1500000*C4</f>
        <v>51000.000000000007</v>
      </c>
      <c r="F4" s="5" t="s">
        <v>41</v>
      </c>
      <c r="G4" s="5" t="s">
        <v>42</v>
      </c>
      <c r="H4" s="11" t="s">
        <v>43</v>
      </c>
      <c r="I4" s="11" t="s">
        <v>44</v>
      </c>
      <c r="J4" s="11" t="s">
        <v>45</v>
      </c>
      <c r="K4" s="11" t="s">
        <v>46</v>
      </c>
      <c r="L4" s="11" t="s">
        <v>47</v>
      </c>
      <c r="M4" s="11" t="s">
        <v>48</v>
      </c>
      <c r="N4" s="11" t="s">
        <v>49</v>
      </c>
      <c r="O4" s="11" t="s">
        <v>36</v>
      </c>
      <c r="P4" s="11" t="s">
        <v>50</v>
      </c>
      <c r="Q4" s="11">
        <v>14</v>
      </c>
      <c r="R4" s="11" t="s">
        <v>51</v>
      </c>
    </row>
    <row r="5" spans="1:18" x14ac:dyDescent="0.25">
      <c r="A5" s="2" t="s">
        <v>52</v>
      </c>
      <c r="B5" s="3">
        <v>0.8</v>
      </c>
      <c r="C5" s="3">
        <v>1.6</v>
      </c>
      <c r="D5" s="5" t="s">
        <v>53</v>
      </c>
      <c r="E5" s="5">
        <f>275*C5</f>
        <v>440</v>
      </c>
      <c r="F5" s="5" t="s">
        <v>54</v>
      </c>
      <c r="G5" s="5" t="s">
        <v>55</v>
      </c>
      <c r="H5" s="11" t="s">
        <v>56</v>
      </c>
      <c r="I5" s="11" t="s">
        <v>57</v>
      </c>
      <c r="J5" s="11" t="s">
        <v>58</v>
      </c>
      <c r="K5" s="11" t="s">
        <v>59</v>
      </c>
      <c r="L5" s="11" t="s">
        <v>60</v>
      </c>
      <c r="M5" s="11" t="s">
        <v>61</v>
      </c>
      <c r="N5" s="11" t="s">
        <v>62</v>
      </c>
      <c r="O5" s="11" t="s">
        <v>36</v>
      </c>
      <c r="P5" s="11" t="s">
        <v>50</v>
      </c>
      <c r="Q5" s="11">
        <v>14</v>
      </c>
      <c r="R5" s="11" t="s">
        <v>63</v>
      </c>
    </row>
    <row r="6" spans="1:18" x14ac:dyDescent="0.25">
      <c r="A6" s="2" t="s">
        <v>64</v>
      </c>
      <c r="B6" s="3">
        <v>0.4</v>
      </c>
      <c r="C6" s="3">
        <v>0.8</v>
      </c>
      <c r="D6" s="5" t="s">
        <v>65</v>
      </c>
      <c r="E6" s="5">
        <f>35*C6</f>
        <v>28</v>
      </c>
      <c r="F6" s="9" t="s">
        <v>163</v>
      </c>
      <c r="G6" s="9" t="s">
        <v>42</v>
      </c>
      <c r="H6" s="11" t="s">
        <v>66</v>
      </c>
      <c r="I6" s="11" t="s">
        <v>67</v>
      </c>
      <c r="J6" s="11" t="s">
        <v>68</v>
      </c>
      <c r="K6" s="11" t="s">
        <v>35</v>
      </c>
      <c r="L6" s="11" t="s">
        <v>69</v>
      </c>
      <c r="M6" s="11" t="s">
        <v>70</v>
      </c>
      <c r="N6" s="11" t="s">
        <v>71</v>
      </c>
      <c r="O6" s="11" t="s">
        <v>36</v>
      </c>
      <c r="P6" s="11" t="s">
        <v>72</v>
      </c>
      <c r="Q6" s="11">
        <v>4</v>
      </c>
      <c r="R6" s="11" t="s">
        <v>73</v>
      </c>
    </row>
    <row r="7" spans="1:18" x14ac:dyDescent="0.25">
      <c r="A7" s="2" t="s">
        <v>74</v>
      </c>
      <c r="B7" s="3">
        <v>2.5</v>
      </c>
      <c r="C7" s="3">
        <v>5</v>
      </c>
      <c r="D7" s="5" t="s">
        <v>75</v>
      </c>
      <c r="E7" s="5">
        <f>175000*C7</f>
        <v>875000</v>
      </c>
      <c r="F7" s="5" t="s">
        <v>76</v>
      </c>
      <c r="G7" s="5" t="s">
        <v>77</v>
      </c>
      <c r="H7" s="11" t="s">
        <v>29</v>
      </c>
      <c r="I7" s="11" t="s">
        <v>78</v>
      </c>
      <c r="J7" s="11" t="s">
        <v>79</v>
      </c>
      <c r="K7" s="11" t="s">
        <v>80</v>
      </c>
      <c r="L7" s="11" t="s">
        <v>81</v>
      </c>
      <c r="M7" s="11" t="s">
        <v>82</v>
      </c>
      <c r="N7" s="11">
        <v>15</v>
      </c>
      <c r="O7" s="11" t="s">
        <v>83</v>
      </c>
      <c r="P7" s="11" t="s">
        <v>37</v>
      </c>
      <c r="Q7" s="11">
        <v>8</v>
      </c>
      <c r="R7" s="11" t="s">
        <v>84</v>
      </c>
    </row>
    <row r="8" spans="1:18" x14ac:dyDescent="0.25">
      <c r="A8" s="2" t="s">
        <v>85</v>
      </c>
      <c r="B8" s="3">
        <v>0.1</v>
      </c>
      <c r="C8" s="3">
        <v>0.2</v>
      </c>
      <c r="D8" s="5" t="s">
        <v>86</v>
      </c>
      <c r="E8" s="5">
        <f>105000*C8</f>
        <v>21000</v>
      </c>
      <c r="F8" s="5" t="s">
        <v>87</v>
      </c>
      <c r="G8" s="5" t="s">
        <v>88</v>
      </c>
      <c r="H8" s="11" t="s">
        <v>89</v>
      </c>
      <c r="I8" s="11" t="s">
        <v>82</v>
      </c>
      <c r="J8" s="11" t="s">
        <v>90</v>
      </c>
      <c r="K8" s="11" t="s">
        <v>91</v>
      </c>
      <c r="L8" s="11" t="s">
        <v>92</v>
      </c>
      <c r="M8" s="11" t="s">
        <v>82</v>
      </c>
      <c r="N8" s="11">
        <v>6</v>
      </c>
      <c r="O8" s="11" t="s">
        <v>36</v>
      </c>
      <c r="P8" s="11" t="s">
        <v>93</v>
      </c>
      <c r="Q8" s="11">
        <v>2</v>
      </c>
      <c r="R8" s="11" t="s">
        <v>94</v>
      </c>
    </row>
    <row r="9" spans="1:18" x14ac:dyDescent="0.25">
      <c r="A9" s="2" t="s">
        <v>95</v>
      </c>
      <c r="B9" s="3">
        <v>2</v>
      </c>
      <c r="C9" s="3">
        <v>4</v>
      </c>
      <c r="D9" s="5" t="s">
        <v>96</v>
      </c>
      <c r="E9" s="5">
        <f>116*C9</f>
        <v>464</v>
      </c>
      <c r="F9" s="9" t="s">
        <v>164</v>
      </c>
      <c r="G9" s="9" t="s">
        <v>165</v>
      </c>
      <c r="H9" s="11" t="s">
        <v>97</v>
      </c>
      <c r="I9" s="11" t="s">
        <v>98</v>
      </c>
      <c r="J9" s="11" t="s">
        <v>99</v>
      </c>
      <c r="K9" s="11" t="s">
        <v>100</v>
      </c>
      <c r="L9" s="11" t="s">
        <v>101</v>
      </c>
      <c r="M9" s="11" t="s">
        <v>102</v>
      </c>
      <c r="N9" s="11" t="s">
        <v>103</v>
      </c>
      <c r="O9" s="11" t="s">
        <v>104</v>
      </c>
      <c r="P9" s="11" t="s">
        <v>37</v>
      </c>
      <c r="Q9" s="11">
        <v>8</v>
      </c>
      <c r="R9" s="11" t="s">
        <v>105</v>
      </c>
    </row>
    <row r="10" spans="1:18" x14ac:dyDescent="0.25">
      <c r="A10" s="2" t="s">
        <v>106</v>
      </c>
      <c r="B10" s="3">
        <v>1E-3</v>
      </c>
      <c r="C10" s="3">
        <v>2E-3</v>
      </c>
      <c r="D10" s="5" t="s">
        <v>107</v>
      </c>
      <c r="E10" s="5">
        <f>600000*C10</f>
        <v>1200</v>
      </c>
      <c r="F10" s="5" t="s">
        <v>108</v>
      </c>
      <c r="G10" s="5" t="s">
        <v>109</v>
      </c>
      <c r="H10" s="11" t="s">
        <v>110</v>
      </c>
      <c r="I10" s="11" t="s">
        <v>82</v>
      </c>
      <c r="J10" s="11" t="s">
        <v>111</v>
      </c>
      <c r="K10" s="11" t="s">
        <v>112</v>
      </c>
      <c r="L10" s="11" t="s">
        <v>113</v>
      </c>
      <c r="M10" s="11" t="s">
        <v>82</v>
      </c>
      <c r="N10" s="11" t="s">
        <v>114</v>
      </c>
      <c r="O10" s="11" t="s">
        <v>115</v>
      </c>
      <c r="P10" s="11" t="s">
        <v>50</v>
      </c>
      <c r="Q10" s="11">
        <v>14</v>
      </c>
      <c r="R10" s="11" t="s">
        <v>116</v>
      </c>
    </row>
    <row r="11" spans="1:18" x14ac:dyDescent="0.25">
      <c r="A11" s="2" t="s">
        <v>117</v>
      </c>
      <c r="B11" s="3">
        <v>12</v>
      </c>
      <c r="C11" s="10">
        <v>24</v>
      </c>
      <c r="D11" s="5" t="s">
        <v>118</v>
      </c>
      <c r="E11" s="5">
        <f>350*C11</f>
        <v>8400</v>
      </c>
      <c r="F11" s="9" t="s">
        <v>166</v>
      </c>
      <c r="G11" s="9" t="s">
        <v>167</v>
      </c>
      <c r="H11" s="11" t="s">
        <v>119</v>
      </c>
      <c r="I11" s="11" t="s">
        <v>120</v>
      </c>
      <c r="J11" s="11" t="s">
        <v>121</v>
      </c>
      <c r="K11" s="11" t="s">
        <v>122</v>
      </c>
      <c r="L11" s="11" t="s">
        <v>123</v>
      </c>
      <c r="M11" s="11" t="s">
        <v>124</v>
      </c>
      <c r="N11" s="11" t="s">
        <v>125</v>
      </c>
      <c r="O11" s="11" t="s">
        <v>36</v>
      </c>
      <c r="P11" s="11" t="s">
        <v>50</v>
      </c>
      <c r="Q11" s="11">
        <v>14</v>
      </c>
      <c r="R11" s="11" t="s">
        <v>126</v>
      </c>
    </row>
    <row r="12" spans="1:18" x14ac:dyDescent="0.25">
      <c r="A12" s="2" t="s">
        <v>127</v>
      </c>
      <c r="B12" s="3">
        <v>35</v>
      </c>
      <c r="C12" s="3">
        <v>70</v>
      </c>
      <c r="D12" s="5" t="s">
        <v>128</v>
      </c>
      <c r="E12" s="5">
        <f>1.95*C12</f>
        <v>136.5</v>
      </c>
      <c r="F12" s="5" t="s">
        <v>129</v>
      </c>
      <c r="G12" s="5" t="s">
        <v>130</v>
      </c>
      <c r="H12" s="11" t="s">
        <v>131</v>
      </c>
      <c r="I12" s="11" t="s">
        <v>132</v>
      </c>
      <c r="J12" s="11" t="s">
        <v>133</v>
      </c>
      <c r="K12" s="11" t="s">
        <v>134</v>
      </c>
      <c r="L12" s="11" t="s">
        <v>135</v>
      </c>
      <c r="M12" s="11" t="s">
        <v>136</v>
      </c>
      <c r="N12" s="11" t="s">
        <v>137</v>
      </c>
      <c r="O12" s="11" t="s">
        <v>36</v>
      </c>
      <c r="P12" s="11" t="s">
        <v>138</v>
      </c>
      <c r="Q12" s="11">
        <v>4</v>
      </c>
      <c r="R12" s="11" t="s">
        <v>139</v>
      </c>
    </row>
    <row r="13" spans="1:18" x14ac:dyDescent="0.25">
      <c r="A13" s="1"/>
      <c r="B13" s="1"/>
      <c r="C13" s="1"/>
      <c r="D13" s="1"/>
      <c r="E13" s="1"/>
      <c r="F13" s="1"/>
      <c r="G13" s="1"/>
      <c r="H13" s="1"/>
      <c r="I13" s="1"/>
      <c r="J13" s="8" t="s">
        <v>140</v>
      </c>
      <c r="K13" s="1"/>
      <c r="L13" s="1"/>
      <c r="M13" s="1"/>
      <c r="N13" s="1"/>
      <c r="O13" s="1"/>
      <c r="P13" s="1"/>
      <c r="Q13" s="1"/>
      <c r="R13" t="s">
        <v>139</v>
      </c>
    </row>
    <row r="14" spans="1:18" x14ac:dyDescent="0.25">
      <c r="J14" t="s">
        <v>141</v>
      </c>
      <c r="R14" t="s">
        <v>142</v>
      </c>
    </row>
    <row r="15" spans="1:18" x14ac:dyDescent="0.25">
      <c r="R15" t="s">
        <v>143</v>
      </c>
    </row>
    <row r="16" spans="1:18" x14ac:dyDescent="0.25">
      <c r="R16" s="7" t="s">
        <v>144</v>
      </c>
    </row>
    <row r="17" spans="18:18" x14ac:dyDescent="0.25">
      <c r="R17" t="s">
        <v>145</v>
      </c>
    </row>
    <row r="18" spans="18:18" x14ac:dyDescent="0.25">
      <c r="R18" s="7" t="s">
        <v>146</v>
      </c>
    </row>
    <row r="19" spans="18:18" x14ac:dyDescent="0.25">
      <c r="R19" t="s">
        <v>147</v>
      </c>
    </row>
    <row r="20" spans="18:18" x14ac:dyDescent="0.25">
      <c r="R20" t="s">
        <v>148</v>
      </c>
    </row>
    <row r="21" spans="18:18" x14ac:dyDescent="0.25">
      <c r="R21" t="s">
        <v>149</v>
      </c>
    </row>
    <row r="22" spans="18:18" x14ac:dyDescent="0.25">
      <c r="R22" t="s">
        <v>150</v>
      </c>
    </row>
    <row r="23" spans="18:18" x14ac:dyDescent="0.25">
      <c r="R23" t="s">
        <v>151</v>
      </c>
    </row>
    <row r="24" spans="18:18" x14ac:dyDescent="0.25">
      <c r="R24" t="s">
        <v>152</v>
      </c>
    </row>
    <row r="25" spans="18:18" x14ac:dyDescent="0.25">
      <c r="R25" t="s">
        <v>153</v>
      </c>
    </row>
    <row r="26" spans="18:18" x14ac:dyDescent="0.25">
      <c r="R26" s="7" t="s">
        <v>180</v>
      </c>
    </row>
    <row r="27" spans="18:18" x14ac:dyDescent="0.25">
      <c r="R27" t="s">
        <v>154</v>
      </c>
    </row>
    <row r="28" spans="18:18" x14ac:dyDescent="0.25">
      <c r="R28" t="s">
        <v>155</v>
      </c>
    </row>
    <row r="29" spans="18:18" x14ac:dyDescent="0.25">
      <c r="R29" t="s">
        <v>156</v>
      </c>
    </row>
    <row r="30" spans="18:18" x14ac:dyDescent="0.25">
      <c r="R30" t="s">
        <v>157</v>
      </c>
    </row>
    <row r="31" spans="18:18" x14ac:dyDescent="0.25">
      <c r="R31" t="s">
        <v>158</v>
      </c>
    </row>
    <row r="32" spans="18:18" x14ac:dyDescent="0.25">
      <c r="R32" s="7" t="s">
        <v>159</v>
      </c>
    </row>
    <row r="33" spans="18:18" x14ac:dyDescent="0.25">
      <c r="R33" t="s">
        <v>160</v>
      </c>
    </row>
    <row r="34" spans="18:18" x14ac:dyDescent="0.25">
      <c r="R34" s="7" t="s">
        <v>161</v>
      </c>
    </row>
    <row r="35" spans="18:18" x14ac:dyDescent="0.25">
      <c r="R35" t="s">
        <v>162</v>
      </c>
    </row>
    <row r="36" spans="18:18" x14ac:dyDescent="0.25">
      <c r="R36" s="12" t="s">
        <v>168</v>
      </c>
    </row>
    <row r="37" spans="18:18" x14ac:dyDescent="0.25">
      <c r="R37" s="12" t="s">
        <v>169</v>
      </c>
    </row>
    <row r="38" spans="18:18" x14ac:dyDescent="0.25">
      <c r="R38" s="12" t="s">
        <v>170</v>
      </c>
    </row>
    <row r="39" spans="18:18" x14ac:dyDescent="0.25">
      <c r="R39" s="12" t="s">
        <v>171</v>
      </c>
    </row>
    <row r="40" spans="18:18" x14ac:dyDescent="0.25">
      <c r="R40" s="12" t="s">
        <v>172</v>
      </c>
    </row>
    <row r="41" spans="18:18" x14ac:dyDescent="0.25">
      <c r="R41" s="12" t="s">
        <v>173</v>
      </c>
    </row>
    <row r="42" spans="18:18" x14ac:dyDescent="0.25">
      <c r="R42" s="12" t="s">
        <v>174</v>
      </c>
    </row>
    <row r="43" spans="18:18" x14ac:dyDescent="0.25">
      <c r="R43" s="12" t="s">
        <v>175</v>
      </c>
    </row>
    <row r="44" spans="18:18" x14ac:dyDescent="0.25">
      <c r="R44" s="12" t="s">
        <v>176</v>
      </c>
    </row>
    <row r="45" spans="18:18" x14ac:dyDescent="0.25">
      <c r="R45" s="12" t="s">
        <v>177</v>
      </c>
    </row>
    <row r="46" spans="18:18" x14ac:dyDescent="0.25">
      <c r="R46" s="12" t="s">
        <v>178</v>
      </c>
    </row>
    <row r="47" spans="18:18" x14ac:dyDescent="0.25">
      <c r="R47" s="12" t="s">
        <v>179</v>
      </c>
    </row>
  </sheetData>
  <hyperlinks>
    <hyperlink ref="R10" r:id="rId1" xr:uid="{00000000-0004-0000-0000-000000000000}"/>
    <hyperlink ref="J13" r:id="rId2" xr:uid="{00000000-0004-0000-0000-000001000000}"/>
    <hyperlink ref="R16" r:id="rId3" location=":~:text=Mati%C3%A8res%20premi%C3%A8res%20La%20teneur%20moyenne%20de%20l'%C3%A9corce,principalement%20co%2Dproduit%20par%20la%20m%C3%A9tallurgie%20du%20zinc." xr:uid="{00000000-0004-0000-0000-000002000000}"/>
    <hyperlink ref="R18" r:id="rId4" xr:uid="{00000000-0004-0000-0000-000003000000}"/>
    <hyperlink ref="R32" r:id="rId5" xr:uid="{00000000-0004-0000-0000-000004000000}"/>
    <hyperlink ref="R34" r:id="rId6" xr:uid="{00000000-0004-0000-0000-000005000000}"/>
    <hyperlink ref="R36" r:id="rId7" display="https://pubs.usgs.gov/publication/mcs2025" xr:uid="{4586DE18-769F-4DC1-AF4A-CF3A8AFBE271}"/>
    <hyperlink ref="R37" r:id="rId8" display="https://pubs.usgs.gov/fs/2025/3038/fs20253038.pdf" xr:uid="{76A09F87-7A45-4944-8F3A-50DE7120B086}"/>
    <hyperlink ref="R38" r:id="rId9" display="https://pubs.usgs.gov/publication/sir20255021/full" xr:uid="{AB95E22B-255E-4C30-B978-E848F7A80343}"/>
    <hyperlink ref="R39" r:id="rId10" xr:uid="{B994D55C-271C-4F0C-B03A-E7B9927E1674}"/>
    <hyperlink ref="R40" r:id="rId11" display="https://databoks.katadata.co.id/en/mining/statistics/67a0837bd5cc3/indonesia-to-become-one-of-the-worlds-top-cobalt-producers-in-2024" xr:uid="{1E6238B8-0373-44A8-BE4F-BDE1705B449E}"/>
    <hyperlink ref="R41" r:id="rId12" xr:uid="{641B2DAD-EAAC-439C-8933-490171214413}"/>
    <hyperlink ref="R42" r:id="rId13" xr:uid="{8ACF955A-A1FD-4BEC-BA5C-32A58B87DF2C}"/>
    <hyperlink ref="R43" r:id="rId14" xr:uid="{E2DB5852-F070-4A20-8C46-645947444EC2}"/>
    <hyperlink ref="R44" r:id="rId15" xr:uid="{D00C0018-7761-45C6-AB14-2B9658AE7ED2}"/>
    <hyperlink ref="R45" r:id="rId16" xr:uid="{F2B3A7FD-1DCB-439F-97F4-ECFD4F5D1618}"/>
    <hyperlink ref="R46" r:id="rId17" xr:uid="{2B186CC4-B508-4396-8787-D3D1001C2807}"/>
    <hyperlink ref="R47" r:id="rId18" xr:uid="{02D9108C-C92F-48CB-A0C6-29366A5F2772}"/>
    <hyperlink ref="R26" r:id="rId19" xr:uid="{4F36806F-DB73-49A0-AAD1-4BB31DF7A495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Maroit Julien</dc:creator>
  <cp:lastModifiedBy>De Vecchi Hugo</cp:lastModifiedBy>
  <dcterms:created xsi:type="dcterms:W3CDTF">2026-04-25T07:43:11Z</dcterms:created>
  <dcterms:modified xsi:type="dcterms:W3CDTF">2026-06-17T11:29:09Z</dcterms:modified>
</cp:coreProperties>
</file>